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gte\Desktop\2024_Matrics_ICS\notes\"/>
    </mc:Choice>
  </mc:AlternateContent>
  <xr:revisionPtr revIDLastSave="0" documentId="13_ncr:1_{978232E7-DFDD-4810-B6CC-2AFC39636CC3}" xr6:coauthVersionLast="47" xr6:coauthVersionMax="47" xr10:uidLastSave="{00000000-0000-0000-0000-000000000000}"/>
  <bookViews>
    <workbookView xWindow="-120" yWindow="-120" windowWidth="29040" windowHeight="15720" xr2:uid="{C68AF903-44B5-4705-B6E2-00AB897AF77B}"/>
  </bookViews>
  <sheets>
    <sheet name="plainis" sheetId="1" r:id="rId1"/>
    <sheet name="kaim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2" l="1"/>
  <c r="G29" i="2"/>
  <c r="J27" i="2"/>
  <c r="J26" i="2"/>
  <c r="D32" i="1"/>
  <c r="C32" i="1"/>
  <c r="C34" i="1"/>
  <c r="C35" i="1"/>
  <c r="C36" i="1"/>
  <c r="C37" i="1"/>
  <c r="C38" i="1"/>
  <c r="C33" i="1"/>
  <c r="D34" i="1"/>
  <c r="D35" i="1"/>
  <c r="D36" i="1"/>
  <c r="D37" i="1"/>
  <c r="D38" i="1"/>
  <c r="D33" i="1"/>
  <c r="H65" i="1"/>
  <c r="L65" i="1"/>
  <c r="N58" i="1"/>
  <c r="L58" i="1"/>
  <c r="N57" i="1"/>
  <c r="L57" i="1"/>
  <c r="N56" i="1"/>
  <c r="L59" i="1" s="1" a="1"/>
  <c r="L59" i="1" s="1"/>
  <c r="L56" i="1"/>
  <c r="N55" i="1"/>
  <c r="L55" i="1"/>
  <c r="J58" i="1"/>
  <c r="H58" i="1"/>
  <c r="J57" i="1"/>
  <c r="H59" i="1" s="1" a="1"/>
  <c r="H57" i="1"/>
  <c r="J56" i="1"/>
  <c r="H56" i="1"/>
  <c r="J55" i="1"/>
  <c r="H55" i="1"/>
  <c r="M34" i="1"/>
  <c r="O27" i="1"/>
  <c r="M28" i="1" s="1" a="1"/>
  <c r="M28" i="1" s="1"/>
  <c r="M27" i="1"/>
  <c r="O26" i="1"/>
  <c r="M26" i="1"/>
  <c r="O25" i="1"/>
  <c r="M25" i="1"/>
  <c r="O24" i="1"/>
  <c r="M24" i="1"/>
  <c r="I34" i="1"/>
  <c r="I28" i="1" a="1"/>
  <c r="I28" i="1" s="1"/>
  <c r="K25" i="1"/>
  <c r="K26" i="1"/>
  <c r="K27" i="1"/>
  <c r="K24" i="1"/>
  <c r="I25" i="1"/>
  <c r="I26" i="1"/>
  <c r="I27" i="1"/>
  <c r="I24" i="1"/>
  <c r="E26" i="1"/>
  <c r="E27" i="1"/>
  <c r="F27" i="1" s="1"/>
  <c r="E25" i="1"/>
  <c r="F25" i="1" s="1"/>
  <c r="E24" i="1"/>
  <c r="F24" i="1" s="1"/>
  <c r="G25" i="2"/>
  <c r="G24" i="2"/>
  <c r="D25" i="2"/>
  <c r="D24" i="2"/>
  <c r="I24" i="2"/>
  <c r="I25" i="2"/>
  <c r="I27" i="2" s="1"/>
  <c r="H17" i="1"/>
  <c r="I17" i="1" s="1"/>
  <c r="H14" i="1"/>
  <c r="I14" i="1" s="1"/>
  <c r="H11" i="1"/>
  <c r="I11" i="1" s="1"/>
  <c r="H8" i="1"/>
  <c r="I8" i="1" s="1"/>
  <c r="D17" i="1"/>
  <c r="E17" i="1" s="1"/>
  <c r="D14" i="1"/>
  <c r="E14" i="1" s="1"/>
  <c r="D11" i="1"/>
  <c r="E11" i="1" s="1"/>
  <c r="D8" i="1"/>
  <c r="E8" i="1" s="1"/>
  <c r="L17" i="1"/>
  <c r="M17" i="1" s="1"/>
  <c r="L14" i="1"/>
  <c r="M14" i="1" s="1"/>
  <c r="L11" i="1"/>
  <c r="M11" i="1" s="1"/>
  <c r="L8" i="1"/>
  <c r="M8" i="1" s="1"/>
  <c r="P17" i="1"/>
  <c r="Q17" i="1" s="1"/>
  <c r="P14" i="1"/>
  <c r="Q14" i="1" s="1"/>
  <c r="P11" i="1"/>
  <c r="Q11" i="1" s="1"/>
  <c r="P8" i="1"/>
  <c r="Q8" i="1" s="1"/>
  <c r="I26" i="2" l="1"/>
  <c r="D27" i="2"/>
  <c r="D26" i="2"/>
  <c r="G26" i="2"/>
  <c r="H59" i="1"/>
  <c r="F26" i="1"/>
  <c r="G27" i="2"/>
  <c r="E3" i="2"/>
  <c r="E4" i="2"/>
  <c r="E20" i="2"/>
  <c r="H14" i="2"/>
  <c r="E5" i="2"/>
  <c r="E21" i="2"/>
  <c r="H15" i="2"/>
  <c r="E6" i="2"/>
  <c r="E22" i="2"/>
  <c r="H16" i="2"/>
  <c r="H17" i="2"/>
  <c r="E8" i="2"/>
  <c r="E2" i="2"/>
  <c r="H18" i="2"/>
  <c r="E9" i="2"/>
  <c r="H3" i="2"/>
  <c r="H19" i="2"/>
  <c r="E10" i="2"/>
  <c r="H4" i="2"/>
  <c r="H20" i="2"/>
  <c r="H13" i="2"/>
  <c r="E7" i="2"/>
  <c r="E11" i="2"/>
  <c r="H5" i="2"/>
  <c r="H21" i="2"/>
  <c r="H6" i="2"/>
  <c r="H22" i="2"/>
  <c r="E13" i="2"/>
  <c r="H7" i="2"/>
  <c r="H2" i="2"/>
  <c r="E14" i="2"/>
  <c r="H8" i="2"/>
  <c r="E15" i="2"/>
  <c r="H9" i="2"/>
  <c r="H10" i="2"/>
  <c r="E17" i="2"/>
  <c r="H11" i="2"/>
  <c r="H12" i="2"/>
  <c r="E19" i="2"/>
  <c r="E12" i="2"/>
  <c r="E16" i="2"/>
  <c r="E18" i="2"/>
  <c r="H23" i="2" l="1"/>
  <c r="E2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<sst xmlns="http://schemas.openxmlformats.org/spreadsheetml/2006/main" count="71" uniqueCount="32">
  <si>
    <t>y</t>
  </si>
  <si>
    <t>x</t>
  </si>
  <si>
    <t>Spatial (7.48)</t>
  </si>
  <si>
    <t>Spatial (0.94)</t>
  </si>
  <si>
    <t>SP</t>
  </si>
  <si>
    <t>Subject: SP</t>
  </si>
  <si>
    <t>Subject: LG</t>
  </si>
  <si>
    <t>M</t>
  </si>
  <si>
    <t>b</t>
  </si>
  <si>
    <t>Partipants</t>
  </si>
  <si>
    <t>Benchmark</t>
  </si>
  <si>
    <t>FalseGreen</t>
  </si>
  <si>
    <t>DoubleGreen</t>
  </si>
  <si>
    <t>DoubleRed</t>
  </si>
  <si>
    <t>FalseRed</t>
  </si>
  <si>
    <t>Average ambient</t>
  </si>
  <si>
    <t>Ambience</t>
  </si>
  <si>
    <t>Lmin-Lmax</t>
  </si>
  <si>
    <t>1/C</t>
  </si>
  <si>
    <t>Spatial</t>
  </si>
  <si>
    <t>Predicted RT</t>
  </si>
  <si>
    <t>User</t>
  </si>
  <si>
    <t>LG</t>
  </si>
  <si>
    <t>https://plotdigitizer.com/app</t>
  </si>
  <si>
    <t>ambient</t>
  </si>
  <si>
    <t>log</t>
  </si>
  <si>
    <t>mean</t>
  </si>
  <si>
    <t>sigma</t>
  </si>
  <si>
    <t>2sigma</t>
  </si>
  <si>
    <t>3sigma</t>
  </si>
  <si>
    <t>SP 7.48 at 20 cd/m2</t>
  </si>
  <si>
    <t>Ticks (20ms)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</si>
</sst>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rgb="FF2C2C2C"/>
      <name val="Calibri"/>
      <family val="2"/>
    </font>
    <font>
      <sz val="11"/>
      <color theme="1"/>
      <name val="Calibri"/>
      <family val="2"/>
    </font>
    <font>
      <b/>
      <sz val="9"/>
      <color rgb="FF2C2C2C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/>
    <xf numFmtId="0" fontId="3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Log</a:t>
            </a:r>
            <a:r>
              <a:rPr lang="en-US" baseline="0"/>
              <a:t>(ambient) vs Log(M) SP 0.94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2552274715660546E-2"/>
                  <c:y val="6.861876640419947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plainis!$I$24:$I$27</c:f>
              <c:numCache>
                <c:formatCode>General</c:formatCode>
                <c:ptCount val="4"/>
                <c:pt idx="0">
                  <c:v>-1.6989700043360187</c:v>
                </c:pt>
                <c:pt idx="1">
                  <c:v>-0.69897000433601875</c:v>
                </c:pt>
                <c:pt idx="2">
                  <c:v>0.3010299956639812</c:v>
                </c:pt>
                <c:pt idx="3">
                  <c:v>1.3010299956639813</c:v>
                </c:pt>
              </c:numCache>
            </c:numRef>
          </c:xVal>
          <c:yVal>
            <c:numRef>
              <c:f>plainis!$K$24:$K$27</c:f>
              <c:numCache>
                <c:formatCode>General</c:formatCode>
                <c:ptCount val="4"/>
                <c:pt idx="0">
                  <c:v>0.88277340585381603</c:v>
                </c:pt>
                <c:pt idx="1">
                  <c:v>0.3301089848206965</c:v>
                </c:pt>
                <c:pt idx="2">
                  <c:v>-8.4505596227486421E-2</c:v>
                </c:pt>
                <c:pt idx="3">
                  <c:v>-0.4019260080796343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9F-4CAC-B932-9B6F20D97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4998360"/>
        <c:axId val="813904488"/>
      </c:scatterChart>
      <c:valAx>
        <c:axId val="1004998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904488"/>
        <c:crosses val="autoZero"/>
        <c:crossBetween val="midCat"/>
      </c:valAx>
      <c:valAx>
        <c:axId val="813904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998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Log(ambient) vs Log(M) SP 7.48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3107830271216098E-2"/>
                  <c:y val="6.722003499562555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plainis!$M$24:$M$27</c:f>
              <c:numCache>
                <c:formatCode>General</c:formatCode>
                <c:ptCount val="4"/>
                <c:pt idx="0">
                  <c:v>-1.6989700043360187</c:v>
                </c:pt>
                <c:pt idx="1">
                  <c:v>-0.69897000433601875</c:v>
                </c:pt>
                <c:pt idx="2">
                  <c:v>0.3010299956639812</c:v>
                </c:pt>
                <c:pt idx="3">
                  <c:v>1.3010299956639813</c:v>
                </c:pt>
              </c:numCache>
            </c:numRef>
          </c:xVal>
          <c:yVal>
            <c:numRef>
              <c:f>plainis!$O$24:$O$27</c:f>
              <c:numCache>
                <c:formatCode>General</c:formatCode>
                <c:ptCount val="4"/>
                <c:pt idx="0">
                  <c:v>1.7206114511476991</c:v>
                </c:pt>
                <c:pt idx="1">
                  <c:v>1.0274170638011157</c:v>
                </c:pt>
                <c:pt idx="2">
                  <c:v>0.67120867897914638</c:v>
                </c:pt>
                <c:pt idx="3">
                  <c:v>0.47325243180650439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12-4945-8B7C-9DD4A0504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4684400"/>
        <c:axId val="814684760"/>
      </c:scatterChart>
      <c:valAx>
        <c:axId val="814684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684760"/>
        <c:crosses val="autoZero"/>
        <c:crossBetween val="midCat"/>
      </c:valAx>
      <c:valAx>
        <c:axId val="81468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684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Log(ambient) vs Log(M) LG 0.94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plainis!$H$55:$H$58</c:f>
              <c:numCache>
                <c:formatCode>General</c:formatCode>
                <c:ptCount val="4"/>
                <c:pt idx="0">
                  <c:v>-1.6989700043360187</c:v>
                </c:pt>
                <c:pt idx="1">
                  <c:v>-0.69897000433601875</c:v>
                </c:pt>
                <c:pt idx="2">
                  <c:v>0.3010299956639812</c:v>
                </c:pt>
                <c:pt idx="3">
                  <c:v>1.3010299956639813</c:v>
                </c:pt>
              </c:numCache>
            </c:numRef>
          </c:xVal>
          <c:yVal>
            <c:numRef>
              <c:f>plainis!$J$55:$J$58</c:f>
              <c:numCache>
                <c:formatCode>General</c:formatCode>
                <c:ptCount val="4"/>
                <c:pt idx="0">
                  <c:v>0.95052584191716438</c:v>
                </c:pt>
                <c:pt idx="1">
                  <c:v>0.37856387879240549</c:v>
                </c:pt>
                <c:pt idx="2">
                  <c:v>-0.14929817639496507</c:v>
                </c:pt>
                <c:pt idx="3">
                  <c:v>-0.52821524461769265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F2-4F31-ACE6-EEF6E80DE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8782248"/>
        <c:axId val="1018784768"/>
      </c:scatterChart>
      <c:valAx>
        <c:axId val="1018782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784768"/>
        <c:crosses val="autoZero"/>
        <c:crossBetween val="midCat"/>
      </c:valAx>
      <c:valAx>
        <c:axId val="101878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782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Log(ambient) vs Log(M) LG 7.48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plainis!$L$55:$L$58</c:f>
              <c:numCache>
                <c:formatCode>General</c:formatCode>
                <c:ptCount val="4"/>
                <c:pt idx="0">
                  <c:v>-1.6989700043360187</c:v>
                </c:pt>
                <c:pt idx="1">
                  <c:v>-0.69897000433601875</c:v>
                </c:pt>
                <c:pt idx="2">
                  <c:v>0.3010299956639812</c:v>
                </c:pt>
                <c:pt idx="3">
                  <c:v>1.3010299956639813</c:v>
                </c:pt>
              </c:numCache>
            </c:numRef>
          </c:xVal>
          <c:yVal>
            <c:numRef>
              <c:f>plainis!$N$55:$N$58</c:f>
              <c:numCache>
                <c:formatCode>General</c:formatCode>
                <c:ptCount val="4"/>
                <c:pt idx="0">
                  <c:v>1.5382865182120633</c:v>
                </c:pt>
                <c:pt idx="1">
                  <c:v>1.0437951162366994</c:v>
                </c:pt>
                <c:pt idx="2">
                  <c:v>0.45517965866038562</c:v>
                </c:pt>
                <c:pt idx="3">
                  <c:v>0.18130755589048611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C7-40E5-AEBC-B6653CD41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2517200"/>
        <c:axId val="1012514680"/>
      </c:scatterChart>
      <c:valAx>
        <c:axId val="101251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514680"/>
        <c:crosses val="autoZero"/>
        <c:crossBetween val="midCat"/>
      </c:valAx>
      <c:valAx>
        <c:axId val="1012514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517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794657</xdr:colOff>
      <xdr:row>35</xdr:row>
      <xdr:rowOff>147637</xdr:rowOff>
    </xdr:from>
    <xdr:to>
      <xdr:col>11</xdr:col>
      <xdr:colOff>782410</xdr:colOff>
      <xdr:row>50</xdr:row>
      <xdr:rowOff>33337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AE547F-5BE1-92B6-0635-71832942A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83683</xdr:colOff>
      <xdr:row>35</xdr:row>
      <xdr:rowOff>116340</xdr:rowOff>
    </xdr:from>
    <xdr:to>
      <xdr:col>19</xdr:col>
      <xdr:colOff>369433</xdr:colOff>
      <xdr:row>50</xdr:row>
      <xdr:rowOff>2040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40924EA-5859-1C0C-7B38-58E1870C9D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64398</xdr:colOff>
      <xdr:row>66</xdr:row>
      <xdr:rowOff>90902</xdr:rowOff>
    </xdr:from>
    <xdr:to>
      <xdr:col>11</xdr:col>
      <xdr:colOff>958919</xdr:colOff>
      <xdr:row>80</xdr:row>
      <xdr:rowOff>167102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AD81694-86DE-F124-8FE9-56DCDE19DD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214312</xdr:colOff>
      <xdr:row>65</xdr:row>
      <xdr:rowOff>166687</xdr:rowOff>
    </xdr:from>
    <xdr:to>
      <xdr:col>19</xdr:col>
      <xdr:colOff>519112</xdr:colOff>
      <xdr:row>80</xdr:row>
      <xdr:rowOff>52387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5F65062-E756-EAAB-50E2-CD794DF773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04AE9-D7C8-4B29-B600-21B77F296038}">
  <dimension ref="A2:Q65"/>
  <sheetViews>
    <sheetView tabSelected="1" topLeftCell="A25" zoomScale="85" zoomScaleNormal="85" workbookViewId="0">
      <selection activeCell="D39" sqref="D39"/>
    </sheetView>
  </sheetViews>
  <sheetFormatPr defaultRowHeight="15" x14ac:dyDescent="0.25"/>
  <cols>
    <col min="1" max="1" width="32.5703125" customWidth="1"/>
    <col min="2" max="4" width="11.42578125" customWidth="1"/>
    <col min="5" max="5" width="29.140625" customWidth="1"/>
    <col min="6" max="8" width="13.42578125" customWidth="1"/>
    <col min="11" max="11" width="10" bestFit="1" customWidth="1"/>
    <col min="12" max="12" width="14.42578125" customWidth="1"/>
  </cols>
  <sheetData>
    <row r="2" spans="1:17" x14ac:dyDescent="0.25">
      <c r="E2" s="2"/>
    </row>
    <row r="3" spans="1:17" x14ac:dyDescent="0.25">
      <c r="E3" s="1"/>
    </row>
    <row r="5" spans="1:17" x14ac:dyDescent="0.25">
      <c r="B5" t="s">
        <v>5</v>
      </c>
      <c r="J5" t="s">
        <v>6</v>
      </c>
    </row>
    <row r="6" spans="1:17" x14ac:dyDescent="0.25">
      <c r="B6" t="s">
        <v>3</v>
      </c>
      <c r="F6" t="s">
        <v>2</v>
      </c>
      <c r="J6" t="s">
        <v>3</v>
      </c>
      <c r="N6" t="s">
        <v>2</v>
      </c>
    </row>
    <row r="7" spans="1:17" x14ac:dyDescent="0.25">
      <c r="A7" t="s">
        <v>15</v>
      </c>
      <c r="B7" t="s">
        <v>1</v>
      </c>
      <c r="C7" t="s">
        <v>0</v>
      </c>
      <c r="D7" t="s">
        <v>7</v>
      </c>
      <c r="E7" t="s">
        <v>8</v>
      </c>
      <c r="F7" t="s">
        <v>1</v>
      </c>
      <c r="G7" t="s">
        <v>0</v>
      </c>
      <c r="H7" t="s">
        <v>7</v>
      </c>
      <c r="I7" t="s">
        <v>8</v>
      </c>
      <c r="J7" t="s">
        <v>1</v>
      </c>
      <c r="K7" t="s">
        <v>0</v>
      </c>
      <c r="L7" t="s">
        <v>7</v>
      </c>
      <c r="M7" t="s">
        <v>8</v>
      </c>
      <c r="N7" t="s">
        <v>1</v>
      </c>
      <c r="O7" t="s">
        <v>0</v>
      </c>
      <c r="P7" t="s">
        <v>7</v>
      </c>
      <c r="Q7" t="s">
        <v>8</v>
      </c>
    </row>
    <row r="8" spans="1:17" x14ac:dyDescent="0.25">
      <c r="A8">
        <v>0.02</v>
      </c>
      <c r="B8" s="2">
        <v>0.902934537246049</v>
      </c>
      <c r="C8" s="2">
        <v>257.142857142857</v>
      </c>
      <c r="D8" s="2">
        <f>(C9-C8)/(B9-B8)</f>
        <v>7.6343735444806731</v>
      </c>
      <c r="E8" s="3">
        <f>C8-(B8*D8)</f>
        <v>250.24951759930786</v>
      </c>
      <c r="F8" s="2">
        <v>0.44443359374997798</v>
      </c>
      <c r="G8" s="2">
        <v>329.92703715183001</v>
      </c>
      <c r="H8" s="2">
        <f>(G9-G8)/(F9-F8)</f>
        <v>52.554686666564436</v>
      </c>
      <c r="I8" s="3">
        <f>G8-(F8*H8)</f>
        <v>306.5699688882047</v>
      </c>
      <c r="J8" s="2">
        <v>0.449438202247191</v>
      </c>
      <c r="K8" s="2">
        <v>238.51851851851799</v>
      </c>
      <c r="L8" s="2">
        <f>(K9-K8)/(J9-J8)</f>
        <v>8.9233071455293675</v>
      </c>
      <c r="M8" s="3">
        <f>K8-(J8*L8)</f>
        <v>234.50804339693175</v>
      </c>
      <c r="N8" s="2">
        <v>-0.45045045045045001</v>
      </c>
      <c r="O8" s="2">
        <v>347.05882352941097</v>
      </c>
      <c r="P8" s="2">
        <f>(O9-O8)/(N9-N8)</f>
        <v>34.53715170278646</v>
      </c>
      <c r="Q8" s="3">
        <f>O8-(N8*P8)</f>
        <v>362.61609907120663</v>
      </c>
    </row>
    <row r="9" spans="1:17" x14ac:dyDescent="0.25">
      <c r="B9" s="2">
        <v>51.918735891647799</v>
      </c>
      <c r="C9" s="2">
        <v>646.61654135338301</v>
      </c>
      <c r="D9" s="2"/>
      <c r="E9" s="2"/>
      <c r="F9" s="2">
        <v>6.22221679687497</v>
      </c>
      <c r="G9" s="2">
        <v>633.57662301940297</v>
      </c>
      <c r="H9" s="2"/>
      <c r="I9" s="2"/>
      <c r="J9" s="2">
        <v>44.943820224719097</v>
      </c>
      <c r="K9" s="2">
        <v>635.55555555555497</v>
      </c>
      <c r="L9" s="2"/>
      <c r="M9" s="2"/>
      <c r="N9" s="2">
        <v>8.1081081081080999</v>
      </c>
      <c r="O9" s="2">
        <v>642.64705882352905</v>
      </c>
      <c r="P9" s="2"/>
      <c r="Q9" s="2"/>
    </row>
    <row r="10" spans="1:17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x14ac:dyDescent="0.25">
      <c r="A11">
        <v>0.2</v>
      </c>
      <c r="B11" s="2">
        <v>0.451467268623024</v>
      </c>
      <c r="C11" s="2">
        <v>228.57142857142799</v>
      </c>
      <c r="D11" s="2">
        <f>(C12-C11)/(B12-B11)</f>
        <v>2.1384986716213259</v>
      </c>
      <c r="E11" s="3">
        <f>C11-(B11*D11)</f>
        <v>227.60596641719715</v>
      </c>
      <c r="F11" s="2">
        <v>0</v>
      </c>
      <c r="G11" s="2">
        <v>288.888888888888</v>
      </c>
      <c r="H11" s="2">
        <f>(G12-G11)/(F12-F11)</f>
        <v>10.651654320987671</v>
      </c>
      <c r="I11" s="3">
        <f>G11-(F11*H11)</f>
        <v>288.888888888888</v>
      </c>
      <c r="J11" s="2">
        <v>0.898876404494382</v>
      </c>
      <c r="K11" s="2">
        <v>235.555555555555</v>
      </c>
      <c r="L11" s="2">
        <f>(K12-K11)/(J12-J11)</f>
        <v>2.3909135802469144</v>
      </c>
      <c r="M11" s="3">
        <f>K11-(J11*L11)</f>
        <v>233.40641975308586</v>
      </c>
      <c r="N11" s="2">
        <v>-0.45045045045045001</v>
      </c>
      <c r="O11" s="2">
        <v>311.76470588235202</v>
      </c>
      <c r="P11" s="2">
        <f>(O12-O11)/(N12-N11)</f>
        <v>11.061018437225655</v>
      </c>
      <c r="Q11" s="3">
        <f>O11-(N11*P11)</f>
        <v>316.74714661984103</v>
      </c>
    </row>
    <row r="12" spans="1:17" x14ac:dyDescent="0.25">
      <c r="B12" s="2">
        <v>195.936794582392</v>
      </c>
      <c r="C12" s="2">
        <v>646.61654135338301</v>
      </c>
      <c r="D12" s="2"/>
      <c r="E12" s="2"/>
      <c r="F12" s="2">
        <v>33.9366515837104</v>
      </c>
      <c r="G12" s="2">
        <v>650.37037037036998</v>
      </c>
      <c r="H12" s="2"/>
      <c r="I12" s="2"/>
      <c r="J12" s="2">
        <v>169.43820224719099</v>
      </c>
      <c r="K12" s="2">
        <v>638.51851851851802</v>
      </c>
      <c r="L12" s="2"/>
      <c r="M12" s="2"/>
      <c r="N12" s="2">
        <v>29.729729729729701</v>
      </c>
      <c r="O12" s="2">
        <v>645.588235294117</v>
      </c>
      <c r="P12" s="2"/>
      <c r="Q12" s="2"/>
    </row>
    <row r="13" spans="1:17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25">
      <c r="A14">
        <v>2</v>
      </c>
      <c r="B14" s="2">
        <v>0.451467268623024</v>
      </c>
      <c r="C14" s="2">
        <v>213.53383458646601</v>
      </c>
      <c r="D14" s="2">
        <f>(C15-C14)/(B15-B14)</f>
        <v>0.82317922953838052</v>
      </c>
      <c r="E14" s="3">
        <f>C14-(B14*D14)</f>
        <v>213.1621961081191</v>
      </c>
      <c r="F14" s="2">
        <v>-0.45248868778280499</v>
      </c>
      <c r="G14" s="2">
        <v>271.11111111111097</v>
      </c>
      <c r="H14" s="2">
        <f>(G15-G14)/(F15-F14)</f>
        <v>4.6903870162297068</v>
      </c>
      <c r="I14" s="3">
        <f>G14-(F14*H14)</f>
        <v>273.23345817727824</v>
      </c>
      <c r="J14" s="2">
        <v>49.230775917292</v>
      </c>
      <c r="K14" s="2">
        <v>265.45454018837199</v>
      </c>
      <c r="L14" s="2">
        <f>(K15-K14)/(J15-J14)</f>
        <v>0.70909075573199321</v>
      </c>
      <c r="M14" s="3">
        <f>K14-(J14*L14)</f>
        <v>230.54545208790699</v>
      </c>
      <c r="N14" s="2">
        <v>-0.45045045045045001</v>
      </c>
      <c r="O14" s="2">
        <v>289.70588235294099</v>
      </c>
      <c r="P14" s="2">
        <f>(O15-O14)/(N15-N14)</f>
        <v>2.8521979188787467</v>
      </c>
      <c r="Q14" s="3">
        <f>O14-(N14*P14)</f>
        <v>290.99065619027374</v>
      </c>
    </row>
    <row r="15" spans="1:17" x14ac:dyDescent="0.25">
      <c r="B15" s="2">
        <v>197.74266365688399</v>
      </c>
      <c r="C15" s="2">
        <v>375.93984962406</v>
      </c>
      <c r="D15" s="2"/>
      <c r="F15" s="2">
        <v>80.090497737556504</v>
      </c>
      <c r="G15" s="2">
        <v>648.888888888888</v>
      </c>
      <c r="H15" s="2"/>
      <c r="J15" s="2">
        <v>196.923103669168</v>
      </c>
      <c r="K15" s="2">
        <v>370.18180448976699</v>
      </c>
      <c r="L15" s="2"/>
      <c r="N15" s="2">
        <v>124.324324324324</v>
      </c>
      <c r="O15" s="2">
        <v>645.588235294117</v>
      </c>
      <c r="P15" s="2"/>
    </row>
    <row r="16" spans="1:17" x14ac:dyDescent="0.25">
      <c r="B16" s="2"/>
      <c r="C16" s="2"/>
      <c r="D16" s="2"/>
      <c r="F16" s="2"/>
      <c r="G16" s="2"/>
      <c r="H16" s="2"/>
      <c r="J16" s="2"/>
      <c r="K16" s="2"/>
      <c r="L16" s="2"/>
      <c r="N16" s="2"/>
      <c r="O16" s="2"/>
      <c r="P16" s="2"/>
    </row>
    <row r="17" spans="1:17" x14ac:dyDescent="0.25">
      <c r="A17">
        <v>20</v>
      </c>
      <c r="B17" s="2">
        <v>0.451467268623024</v>
      </c>
      <c r="C17" s="2">
        <v>203.007518796992</v>
      </c>
      <c r="D17" s="2">
        <f>(C18-C17)/(B18-B17)</f>
        <v>0.39634555496292639</v>
      </c>
      <c r="E17" s="3">
        <f>C17-(B17*D17)</f>
        <v>202.828581751862</v>
      </c>
      <c r="F17" s="2">
        <v>0.90497737556560998</v>
      </c>
      <c r="G17" s="2">
        <v>253.333333333333</v>
      </c>
      <c r="H17" s="2">
        <f>(G18-G17)/(F18-F17)</f>
        <v>2.9733938019652353</v>
      </c>
      <c r="I17" s="3">
        <f>G17-(F17*H17)</f>
        <v>250.64247921390745</v>
      </c>
      <c r="J17" s="2">
        <v>49.670325637188903</v>
      </c>
      <c r="K17" s="2">
        <v>259.63638103289497</v>
      </c>
      <c r="L17" s="2">
        <f>(K18-K17)/(J18-J17)</f>
        <v>0.29633623266912812</v>
      </c>
      <c r="M17" s="3">
        <f>K17-(J17*L17)</f>
        <v>244.9172638581216</v>
      </c>
      <c r="N17" s="2">
        <v>-0.45045045045045001</v>
      </c>
      <c r="O17" s="2">
        <v>279.41176470588198</v>
      </c>
      <c r="P17" s="2">
        <f>(O18-O17)/(N18-N17)</f>
        <v>1.5181250829903066</v>
      </c>
      <c r="Q17" s="3">
        <f>O17-(N17*P17)</f>
        <v>280.09560483335508</v>
      </c>
    </row>
    <row r="18" spans="1:17" x14ac:dyDescent="0.25">
      <c r="B18" s="2">
        <v>197.74266365688399</v>
      </c>
      <c r="C18" s="2">
        <v>281.20300751879699</v>
      </c>
      <c r="E18" s="2"/>
      <c r="F18" s="2">
        <v>133.93665158370999</v>
      </c>
      <c r="G18" s="2">
        <v>648.888888888888</v>
      </c>
      <c r="I18" s="2"/>
      <c r="J18" s="2">
        <v>196.923103669168</v>
      </c>
      <c r="K18" s="2">
        <v>303.27271452495501</v>
      </c>
      <c r="M18" s="2"/>
      <c r="N18" s="2">
        <v>199.09909909909899</v>
      </c>
      <c r="O18" s="2">
        <v>582.35294117647004</v>
      </c>
      <c r="Q18" s="2"/>
    </row>
    <row r="23" spans="1:17" x14ac:dyDescent="0.25">
      <c r="A23" t="s">
        <v>21</v>
      </c>
      <c r="B23" t="s">
        <v>19</v>
      </c>
      <c r="C23" t="s">
        <v>16</v>
      </c>
      <c r="D23" t="s">
        <v>17</v>
      </c>
      <c r="E23" t="s">
        <v>18</v>
      </c>
      <c r="F23" t="s">
        <v>20</v>
      </c>
      <c r="H23" t="s">
        <v>24</v>
      </c>
      <c r="I23" t="s">
        <v>25</v>
      </c>
      <c r="J23" t="s">
        <v>7</v>
      </c>
      <c r="K23" t="s">
        <v>25</v>
      </c>
      <c r="L23" t="s">
        <v>24</v>
      </c>
      <c r="M23" t="s">
        <v>25</v>
      </c>
      <c r="N23" t="s">
        <v>7</v>
      </c>
      <c r="O23" t="s">
        <v>25</v>
      </c>
    </row>
    <row r="24" spans="1:17" x14ac:dyDescent="0.25">
      <c r="A24" t="s">
        <v>4</v>
      </c>
      <c r="B24">
        <v>0.94</v>
      </c>
      <c r="C24">
        <v>20</v>
      </c>
      <c r="D24">
        <v>0.32</v>
      </c>
      <c r="E24">
        <f>1/(D24/40)</f>
        <v>125</v>
      </c>
      <c r="F24" s="5">
        <f>E24*D17+E17</f>
        <v>252.3717761222278</v>
      </c>
      <c r="H24">
        <v>0.02</v>
      </c>
      <c r="I24">
        <f>LOG10(H24)</f>
        <v>-1.6989700043360187</v>
      </c>
      <c r="J24" s="2">
        <v>7.6343735444806731</v>
      </c>
      <c r="K24">
        <f>LOG10(J24)</f>
        <v>0.88277340585381603</v>
      </c>
      <c r="L24">
        <v>0.02</v>
      </c>
      <c r="M24">
        <f>LOG10(L24)</f>
        <v>-1.6989700043360187</v>
      </c>
      <c r="N24" s="2">
        <v>52.554686666564436</v>
      </c>
      <c r="O24">
        <f>LOG10(N24)</f>
        <v>1.7206114511476991</v>
      </c>
    </row>
    <row r="25" spans="1:17" x14ac:dyDescent="0.25">
      <c r="A25" t="s">
        <v>4</v>
      </c>
      <c r="B25">
        <v>7.48</v>
      </c>
      <c r="C25">
        <v>20</v>
      </c>
      <c r="D25">
        <v>0.32</v>
      </c>
      <c r="E25">
        <f>1/(D25/40)</f>
        <v>125</v>
      </c>
      <c r="F25" s="5">
        <f>E25*H17+I17</f>
        <v>622.31670445956183</v>
      </c>
      <c r="H25">
        <v>0.2</v>
      </c>
      <c r="I25">
        <f t="shared" ref="I25:I27" si="0">LOG10(H25)</f>
        <v>-0.69897000433601875</v>
      </c>
      <c r="J25" s="2">
        <v>2.1384986716213259</v>
      </c>
      <c r="K25">
        <f t="shared" ref="K25:K27" si="1">LOG10(J25)</f>
        <v>0.3301089848206965</v>
      </c>
      <c r="L25">
        <v>0.2</v>
      </c>
      <c r="M25">
        <f t="shared" ref="M25:M27" si="2">LOG10(L25)</f>
        <v>-0.69897000433601875</v>
      </c>
      <c r="N25" s="2">
        <v>10.651654320987671</v>
      </c>
      <c r="O25">
        <f t="shared" ref="O25:O27" si="3">LOG10(N25)</f>
        <v>1.0274170638011157</v>
      </c>
    </row>
    <row r="26" spans="1:17" x14ac:dyDescent="0.25">
      <c r="A26" t="s">
        <v>22</v>
      </c>
      <c r="B26">
        <v>0.94</v>
      </c>
      <c r="C26">
        <v>20</v>
      </c>
      <c r="D26">
        <v>0.32</v>
      </c>
      <c r="E26">
        <f>1/(D26/40)</f>
        <v>125</v>
      </c>
      <c r="F26" s="5">
        <f>D26*L17+M17</f>
        <v>245.01209145257573</v>
      </c>
      <c r="H26">
        <v>2</v>
      </c>
      <c r="I26">
        <f t="shared" si="0"/>
        <v>0.3010299956639812</v>
      </c>
      <c r="J26" s="2">
        <v>0.82317922953838052</v>
      </c>
      <c r="K26">
        <f t="shared" si="1"/>
        <v>-8.4505596227486421E-2</v>
      </c>
      <c r="L26">
        <v>2</v>
      </c>
      <c r="M26">
        <f t="shared" si="2"/>
        <v>0.3010299956639812</v>
      </c>
      <c r="N26" s="2">
        <v>4.6903870162297068</v>
      </c>
      <c r="O26">
        <f t="shared" si="3"/>
        <v>0.67120867897914638</v>
      </c>
    </row>
    <row r="27" spans="1:17" x14ac:dyDescent="0.25">
      <c r="A27" t="s">
        <v>22</v>
      </c>
      <c r="B27">
        <v>7.48</v>
      </c>
      <c r="C27">
        <v>20</v>
      </c>
      <c r="D27">
        <v>0.32</v>
      </c>
      <c r="E27">
        <f>1/(D27/40)</f>
        <v>125</v>
      </c>
      <c r="F27" s="5">
        <f>E27*$P$17+$Q$17</f>
        <v>469.8612402071434</v>
      </c>
      <c r="H27">
        <v>20</v>
      </c>
      <c r="I27">
        <f t="shared" si="0"/>
        <v>1.3010299956639813</v>
      </c>
      <c r="J27" s="2">
        <v>0.39634555496292639</v>
      </c>
      <c r="K27">
        <f t="shared" si="1"/>
        <v>-0.4019260080796343</v>
      </c>
      <c r="L27">
        <v>20</v>
      </c>
      <c r="M27">
        <f t="shared" si="2"/>
        <v>1.3010299956639813</v>
      </c>
      <c r="N27" s="2">
        <v>2.9733938019652353</v>
      </c>
      <c r="O27">
        <f t="shared" si="3"/>
        <v>0.47325243180650439</v>
      </c>
    </row>
    <row r="28" spans="1:17" x14ac:dyDescent="0.25">
      <c r="I28" cm="1">
        <f t="array" ref="I28:J32">LINEST(K24:K27,I24:I27,TRUE,TRUE)</f>
        <v>-0.42687128228485338</v>
      </c>
      <c r="J28">
        <v>9.6678115704708814E-2</v>
      </c>
      <c r="M28" cm="1">
        <f t="array" ref="M28:N32">LINEST(O24:O27,M24:M27,TRUE,TRUE)</f>
        <v>-0.40982854428455534</v>
      </c>
      <c r="N28">
        <v>0.89157881920029414</v>
      </c>
    </row>
    <row r="29" spans="1:17" x14ac:dyDescent="0.25">
      <c r="A29" t="s">
        <v>23</v>
      </c>
      <c r="I29">
        <v>3.7307365567223881E-2</v>
      </c>
      <c r="J29">
        <v>4.2366272305931825E-2</v>
      </c>
      <c r="M29">
        <v>7.9317396322243813E-2</v>
      </c>
      <c r="N29">
        <v>9.0072894724518862E-2</v>
      </c>
    </row>
    <row r="30" spans="1:17" x14ac:dyDescent="0.25">
      <c r="I30">
        <v>0.98495331155992416</v>
      </c>
      <c r="J30">
        <v>8.3421805469747604E-2</v>
      </c>
      <c r="M30">
        <v>0.93030705714730999</v>
      </c>
      <c r="N30">
        <v>0.17735908997482899</v>
      </c>
    </row>
    <row r="31" spans="1:17" x14ac:dyDescent="0.25">
      <c r="A31" t="s">
        <v>30</v>
      </c>
      <c r="C31">
        <v>4.6903870162297068</v>
      </c>
      <c r="D31">
        <v>273.23345817727824</v>
      </c>
      <c r="I31">
        <v>130.91961270847756</v>
      </c>
      <c r="J31">
        <v>2</v>
      </c>
      <c r="M31">
        <v>26.697310202948419</v>
      </c>
      <c r="N31">
        <v>2</v>
      </c>
    </row>
    <row r="32" spans="1:17" x14ac:dyDescent="0.25">
      <c r="B32">
        <v>1</v>
      </c>
      <c r="C32">
        <f>CEILING(($C$31*B32+$D$31)/20,1)</f>
        <v>14</v>
      </c>
      <c r="D32">
        <f>($C$31*B32+$D$31)</f>
        <v>277.92384519350793</v>
      </c>
      <c r="I32">
        <v>0.91109545819757498</v>
      </c>
      <c r="J32">
        <v>1.3918395255664821E-2</v>
      </c>
      <c r="M32">
        <v>0.83979717855198865</v>
      </c>
      <c r="N32">
        <v>6.2912493593398969E-2</v>
      </c>
    </row>
    <row r="33" spans="2:13" x14ac:dyDescent="0.25">
      <c r="B33">
        <v>5</v>
      </c>
      <c r="C33">
        <f>CEILING(($C$31*B33+$D$31)/20,1)</f>
        <v>15</v>
      </c>
      <c r="D33">
        <f>($C$31*B33+$D$31)</f>
        <v>296.68539325842676</v>
      </c>
    </row>
    <row r="34" spans="2:13" x14ac:dyDescent="0.25">
      <c r="B34">
        <v>10</v>
      </c>
      <c r="C34">
        <f t="shared" ref="C34:C38" si="4">CEILING(($C$31*B34+$D$31)/20,1)</f>
        <v>17</v>
      </c>
      <c r="D34">
        <f t="shared" ref="D34:D38" si="5">($C$31*B34+$D$31)</f>
        <v>320.13732833957533</v>
      </c>
      <c r="I34">
        <f>FDIST(131,1,2)</f>
        <v>7.5472776927670735E-3</v>
      </c>
      <c r="M34">
        <f>FDIST(M31,1,2)</f>
        <v>3.5475735324761226E-2</v>
      </c>
    </row>
    <row r="35" spans="2:13" x14ac:dyDescent="0.25">
      <c r="B35">
        <v>20</v>
      </c>
      <c r="C35">
        <f t="shared" si="4"/>
        <v>19</v>
      </c>
      <c r="D35">
        <f t="shared" si="5"/>
        <v>367.04119850187237</v>
      </c>
    </row>
    <row r="36" spans="2:13" x14ac:dyDescent="0.25">
      <c r="B36">
        <v>30</v>
      </c>
      <c r="C36">
        <f t="shared" si="4"/>
        <v>21</v>
      </c>
      <c r="D36">
        <f t="shared" si="5"/>
        <v>413.94506866416941</v>
      </c>
    </row>
    <row r="37" spans="2:13" x14ac:dyDescent="0.25">
      <c r="B37">
        <v>40</v>
      </c>
      <c r="C37">
        <f t="shared" si="4"/>
        <v>24</v>
      </c>
      <c r="D37">
        <f t="shared" si="5"/>
        <v>460.84893882646651</v>
      </c>
    </row>
    <row r="38" spans="2:13" x14ac:dyDescent="0.25">
      <c r="B38">
        <v>50</v>
      </c>
      <c r="C38">
        <f t="shared" si="4"/>
        <v>26</v>
      </c>
      <c r="D38">
        <f t="shared" si="5"/>
        <v>507.7528089887636</v>
      </c>
    </row>
    <row r="39" spans="2:13" x14ac:dyDescent="0.25">
      <c r="B39" t="s">
        <v>18</v>
      </c>
      <c r="C39" t="s">
        <v>31</v>
      </c>
    </row>
    <row r="54" spans="7:14" x14ac:dyDescent="0.25">
      <c r="G54" t="s">
        <v>24</v>
      </c>
      <c r="H54" t="s">
        <v>25</v>
      </c>
      <c r="I54" t="s">
        <v>7</v>
      </c>
      <c r="J54" t="s">
        <v>25</v>
      </c>
      <c r="K54" t="s">
        <v>24</v>
      </c>
      <c r="L54" t="s">
        <v>25</v>
      </c>
      <c r="M54" t="s">
        <v>7</v>
      </c>
      <c r="N54" t="s">
        <v>25</v>
      </c>
    </row>
    <row r="55" spans="7:14" x14ac:dyDescent="0.25">
      <c r="G55">
        <v>0.02</v>
      </c>
      <c r="H55">
        <f>LOG10(G55)</f>
        <v>-1.6989700043360187</v>
      </c>
      <c r="I55" s="2">
        <v>8.9233071455293675</v>
      </c>
      <c r="J55">
        <f>LOG10(I55)</f>
        <v>0.95052584191716438</v>
      </c>
      <c r="K55">
        <v>0.02</v>
      </c>
      <c r="L55">
        <f>LOG10(K55)</f>
        <v>-1.6989700043360187</v>
      </c>
      <c r="M55" s="2">
        <v>34.53715170278646</v>
      </c>
      <c r="N55">
        <f>LOG10(M55)</f>
        <v>1.5382865182120633</v>
      </c>
    </row>
    <row r="56" spans="7:14" x14ac:dyDescent="0.25">
      <c r="G56">
        <v>0.2</v>
      </c>
      <c r="H56">
        <f t="shared" ref="H56:H58" si="6">LOG10(G56)</f>
        <v>-0.69897000433601875</v>
      </c>
      <c r="I56" s="2">
        <v>2.3909135802469144</v>
      </c>
      <c r="J56">
        <f t="shared" ref="J56:J58" si="7">LOG10(I56)</f>
        <v>0.37856387879240549</v>
      </c>
      <c r="K56">
        <v>0.2</v>
      </c>
      <c r="L56">
        <f t="shared" ref="L56:L58" si="8">LOG10(K56)</f>
        <v>-0.69897000433601875</v>
      </c>
      <c r="M56" s="2">
        <v>11.061018437225655</v>
      </c>
      <c r="N56">
        <f t="shared" ref="N56:N58" si="9">LOG10(M56)</f>
        <v>1.0437951162366994</v>
      </c>
    </row>
    <row r="57" spans="7:14" x14ac:dyDescent="0.25">
      <c r="G57">
        <v>2</v>
      </c>
      <c r="H57">
        <f t="shared" si="6"/>
        <v>0.3010299956639812</v>
      </c>
      <c r="I57" s="2">
        <v>0.70909075573199321</v>
      </c>
      <c r="J57">
        <f t="shared" si="7"/>
        <v>-0.14929817639496507</v>
      </c>
      <c r="K57">
        <v>2</v>
      </c>
      <c r="L57">
        <f t="shared" si="8"/>
        <v>0.3010299956639812</v>
      </c>
      <c r="M57" s="2">
        <v>2.8521979188787467</v>
      </c>
      <c r="N57">
        <f t="shared" si="9"/>
        <v>0.45517965866038562</v>
      </c>
    </row>
    <row r="58" spans="7:14" x14ac:dyDescent="0.25">
      <c r="G58">
        <v>20</v>
      </c>
      <c r="H58">
        <f t="shared" si="6"/>
        <v>1.3010299956639813</v>
      </c>
      <c r="I58" s="2">
        <v>0.29633623266912812</v>
      </c>
      <c r="J58">
        <f t="shared" si="7"/>
        <v>-0.52821524461769265</v>
      </c>
      <c r="K58">
        <v>20</v>
      </c>
      <c r="L58">
        <f t="shared" si="8"/>
        <v>1.3010299956639813</v>
      </c>
      <c r="M58" s="2">
        <v>1.5181250829903066</v>
      </c>
      <c r="N58">
        <f t="shared" si="9"/>
        <v>0.18130755589048611</v>
      </c>
    </row>
    <row r="59" spans="7:14" x14ac:dyDescent="0.25">
      <c r="H59" cm="1">
        <f t="array" ref="H59:I63">LINEST(J55:J58,H55:H58,TRUE,TRUE)</f>
        <v>-0.49640853147919423</v>
      </c>
      <c r="I59">
        <v>6.4123667263376108E-2</v>
      </c>
      <c r="L59" cm="1">
        <f t="array" ref="L59:M63">LINEST(N55:N58,L55:L58,TRUE,TRUE)</f>
        <v>-0.46595523445410458</v>
      </c>
      <c r="M59">
        <v>0.71193109723018466</v>
      </c>
    </row>
    <row r="60" spans="7:14" x14ac:dyDescent="0.25">
      <c r="H60">
        <v>3.1410519562314859E-2</v>
      </c>
      <c r="I60">
        <v>3.5669809562135037E-2</v>
      </c>
      <c r="L60">
        <v>4.5306563277453256E-2</v>
      </c>
      <c r="M60">
        <v>5.1450167222336717E-2</v>
      </c>
    </row>
    <row r="61" spans="7:14" x14ac:dyDescent="0.25">
      <c r="H61">
        <v>0.99205602332123488</v>
      </c>
      <c r="I61">
        <v>7.0236056949922965E-2</v>
      </c>
      <c r="L61">
        <v>0.98144211260395675</v>
      </c>
      <c r="M61">
        <v>0.10130855531528114</v>
      </c>
    </row>
    <row r="62" spans="7:14" x14ac:dyDescent="0.25">
      <c r="H62">
        <v>249.7630754564245</v>
      </c>
      <c r="I62">
        <v>2</v>
      </c>
      <c r="L62">
        <v>105.77088778038495</v>
      </c>
      <c r="M62">
        <v>2</v>
      </c>
    </row>
    <row r="63" spans="7:14" x14ac:dyDescent="0.25">
      <c r="H63">
        <v>1.2321071506266503</v>
      </c>
      <c r="I63">
        <v>9.8662073917456447E-3</v>
      </c>
      <c r="L63">
        <v>1.0855714025758976</v>
      </c>
      <c r="M63">
        <v>2.0526846760138759E-2</v>
      </c>
    </row>
    <row r="65" spans="8:12" x14ac:dyDescent="0.25">
      <c r="H65">
        <f>FDIST(H62,1,2)</f>
        <v>3.9799081739189347E-3</v>
      </c>
      <c r="L65">
        <f>FDIST(L62,1,2)</f>
        <v>9.3223972432016633E-3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2068A-CD73-447C-9F3C-277B4050FBE4}">
  <dimension ref="A1:M29"/>
  <sheetViews>
    <sheetView workbookViewId="0">
      <selection activeCell="D26" sqref="D26"/>
    </sheetView>
  </sheetViews>
  <sheetFormatPr defaultRowHeight="15" x14ac:dyDescent="0.25"/>
  <cols>
    <col min="2" max="2" width="15.42578125" customWidth="1"/>
    <col min="3" max="3" width="21.7109375" customWidth="1"/>
    <col min="4" max="4" width="18.140625" customWidth="1"/>
    <col min="5" max="5" width="20.140625" customWidth="1"/>
    <col min="6" max="6" width="20.42578125" customWidth="1"/>
    <col min="7" max="7" width="20.140625" customWidth="1"/>
    <col min="8" max="8" width="17.28515625" customWidth="1"/>
    <col min="9" max="9" width="23.5703125" customWidth="1"/>
  </cols>
  <sheetData>
    <row r="1" spans="1:13" x14ac:dyDescent="0.25">
      <c r="A1" t="s">
        <v>9</v>
      </c>
      <c r="B1" t="s">
        <v>10</v>
      </c>
      <c r="C1" t="s">
        <v>11</v>
      </c>
      <c r="D1" t="s">
        <v>12</v>
      </c>
      <c r="F1" t="s">
        <v>13</v>
      </c>
      <c r="G1" t="s">
        <v>14</v>
      </c>
      <c r="I1" t="s">
        <v>10</v>
      </c>
      <c r="K1" s="2"/>
    </row>
    <row r="2" spans="1:13" x14ac:dyDescent="0.25">
      <c r="A2">
        <v>1</v>
      </c>
      <c r="D2" s="2">
        <v>738.21339950372203</v>
      </c>
      <c r="E2" s="2">
        <f>INT(D2&gt;$I$26)</f>
        <v>1</v>
      </c>
      <c r="F2" s="2">
        <v>537.220843672456</v>
      </c>
      <c r="G2" s="2">
        <v>700.99255583126501</v>
      </c>
      <c r="H2" s="2">
        <f>INT(G2&gt;$I$26)</f>
        <v>1</v>
      </c>
      <c r="I2" s="2">
        <v>559.55334987593005</v>
      </c>
      <c r="K2" s="2"/>
      <c r="M2" s="2"/>
    </row>
    <row r="3" spans="1:13" x14ac:dyDescent="0.25">
      <c r="A3">
        <v>2</v>
      </c>
      <c r="D3" s="2">
        <v>500</v>
      </c>
      <c r="E3" s="2">
        <f t="shared" ref="E3:E22" si="0">INT(D3&gt;$I$26)</f>
        <v>0</v>
      </c>
      <c r="G3" s="2">
        <v>455.33498759305201</v>
      </c>
      <c r="H3" s="2">
        <f t="shared" ref="H3:H22" si="1">INT(G3&gt;$I$26)</f>
        <v>0</v>
      </c>
      <c r="I3" s="2">
        <v>492.555831265508</v>
      </c>
      <c r="K3" s="2"/>
      <c r="M3" s="2"/>
    </row>
    <row r="4" spans="1:13" x14ac:dyDescent="0.25">
      <c r="A4">
        <v>3</v>
      </c>
      <c r="C4" s="2">
        <v>559.55334987593005</v>
      </c>
      <c r="D4" s="2">
        <v>916.87344913151298</v>
      </c>
      <c r="E4" s="2">
        <f t="shared" si="0"/>
        <v>1</v>
      </c>
      <c r="F4" s="2">
        <v>641.43920595533496</v>
      </c>
      <c r="G4" s="2">
        <v>812.65508684863505</v>
      </c>
      <c r="H4" s="2">
        <f t="shared" si="1"/>
        <v>1</v>
      </c>
      <c r="I4" s="2">
        <v>388.33746898263001</v>
      </c>
      <c r="K4" s="2"/>
      <c r="M4" s="2"/>
    </row>
    <row r="5" spans="1:13" x14ac:dyDescent="0.25">
      <c r="A5">
        <v>4</v>
      </c>
      <c r="D5" s="2">
        <v>485.11166253101698</v>
      </c>
      <c r="E5" s="2">
        <f t="shared" si="0"/>
        <v>0</v>
      </c>
      <c r="G5" s="2">
        <v>500</v>
      </c>
      <c r="H5" s="2">
        <f t="shared" si="1"/>
        <v>0</v>
      </c>
      <c r="I5" s="2">
        <v>373.44913151364699</v>
      </c>
      <c r="J5" s="2"/>
      <c r="K5" s="2"/>
      <c r="M5" s="2"/>
    </row>
    <row r="6" spans="1:13" x14ac:dyDescent="0.25">
      <c r="A6">
        <v>5</v>
      </c>
      <c r="D6" s="2">
        <v>916.87344913151298</v>
      </c>
      <c r="E6" s="2">
        <f t="shared" si="0"/>
        <v>1</v>
      </c>
      <c r="F6" s="2">
        <v>574.44168734491302</v>
      </c>
      <c r="G6" s="2">
        <v>2368.4863523573199</v>
      </c>
      <c r="H6" s="2">
        <f t="shared" si="1"/>
        <v>1</v>
      </c>
      <c r="I6" s="2">
        <v>477.667493796526</v>
      </c>
      <c r="J6" s="2"/>
      <c r="K6" s="2"/>
      <c r="M6" s="2"/>
    </row>
    <row r="7" spans="1:13" x14ac:dyDescent="0.25">
      <c r="A7">
        <v>6</v>
      </c>
      <c r="D7" s="2">
        <v>462.77915632754298</v>
      </c>
      <c r="E7" s="2">
        <f t="shared" si="0"/>
        <v>0</v>
      </c>
      <c r="F7" s="2">
        <v>566.99751861042103</v>
      </c>
      <c r="G7" s="2">
        <v>485.11166253101698</v>
      </c>
      <c r="H7" s="2">
        <f t="shared" si="1"/>
        <v>0</v>
      </c>
      <c r="I7" s="2">
        <v>514.88833746898194</v>
      </c>
      <c r="J7" s="2"/>
      <c r="K7" s="2"/>
    </row>
    <row r="8" spans="1:13" x14ac:dyDescent="0.25">
      <c r="A8">
        <v>7</v>
      </c>
      <c r="D8" s="2">
        <v>559.55334987593005</v>
      </c>
      <c r="E8" s="2">
        <f t="shared" si="0"/>
        <v>0</v>
      </c>
      <c r="G8" s="2">
        <v>552.10918114143897</v>
      </c>
      <c r="H8" s="2">
        <f t="shared" si="1"/>
        <v>0</v>
      </c>
      <c r="I8" s="2">
        <v>529.77667493796503</v>
      </c>
      <c r="J8" s="2"/>
      <c r="K8" s="2"/>
    </row>
    <row r="9" spans="1:13" x14ac:dyDescent="0.25">
      <c r="A9">
        <v>8</v>
      </c>
      <c r="C9" s="2">
        <v>633.99503722084296</v>
      </c>
      <c r="D9" s="2">
        <v>626.55086848635199</v>
      </c>
      <c r="E9" s="2">
        <f t="shared" si="0"/>
        <v>1</v>
      </c>
      <c r="F9" s="2">
        <v>566.99751861042103</v>
      </c>
      <c r="G9" s="4">
        <v>589.33002481389497</v>
      </c>
      <c r="H9" s="2">
        <f t="shared" si="1"/>
        <v>0</v>
      </c>
      <c r="I9" s="2">
        <v>596.77419354838696</v>
      </c>
      <c r="J9" s="2"/>
      <c r="K9" s="2"/>
    </row>
    <row r="10" spans="1:13" x14ac:dyDescent="0.25">
      <c r="A10">
        <v>9</v>
      </c>
      <c r="C10" s="2">
        <v>440.44665012406898</v>
      </c>
      <c r="D10" s="2">
        <v>790.322580645161</v>
      </c>
      <c r="E10" s="2">
        <f t="shared" si="0"/>
        <v>1</v>
      </c>
      <c r="F10" s="2">
        <v>552.10918114143897</v>
      </c>
      <c r="G10" s="2">
        <v>901.98511166253104</v>
      </c>
      <c r="H10" s="2">
        <f t="shared" si="1"/>
        <v>1</v>
      </c>
      <c r="I10" s="2">
        <v>492.555831265508</v>
      </c>
      <c r="J10" s="2"/>
      <c r="K10" s="2"/>
    </row>
    <row r="11" spans="1:13" x14ac:dyDescent="0.25">
      <c r="A11">
        <v>10</v>
      </c>
      <c r="D11" s="2">
        <v>745.657568238213</v>
      </c>
      <c r="E11" s="2">
        <f t="shared" si="0"/>
        <v>1</v>
      </c>
      <c r="F11" s="2">
        <v>514.88833746898194</v>
      </c>
      <c r="G11" s="2">
        <v>581.88585607940399</v>
      </c>
      <c r="H11" s="2">
        <f t="shared" si="1"/>
        <v>0</v>
      </c>
      <c r="I11" s="2">
        <v>485.11166253101698</v>
      </c>
      <c r="K11" s="2"/>
    </row>
    <row r="12" spans="1:13" x14ac:dyDescent="0.25">
      <c r="A12">
        <v>11</v>
      </c>
      <c r="D12" s="2">
        <v>663.77171215880799</v>
      </c>
      <c r="E12" s="2">
        <f t="shared" si="0"/>
        <v>1</v>
      </c>
      <c r="F12" s="2">
        <v>611.66253101736902</v>
      </c>
      <c r="G12" s="2">
        <v>1110.42183622828</v>
      </c>
      <c r="H12" s="2">
        <f t="shared" si="1"/>
        <v>1</v>
      </c>
      <c r="I12" s="2">
        <v>544.66501240694697</v>
      </c>
      <c r="K12" s="2"/>
    </row>
    <row r="13" spans="1:13" x14ac:dyDescent="0.25">
      <c r="A13">
        <v>12</v>
      </c>
      <c r="D13" s="2">
        <v>566.99751861042103</v>
      </c>
      <c r="E13" s="2">
        <f t="shared" si="0"/>
        <v>0</v>
      </c>
      <c r="G13" s="2">
        <v>723.32506203473895</v>
      </c>
      <c r="H13" s="2">
        <f t="shared" si="1"/>
        <v>1</v>
      </c>
      <c r="I13" s="2">
        <v>514.88833746898194</v>
      </c>
      <c r="K13" s="2"/>
    </row>
    <row r="14" spans="1:13" x14ac:dyDescent="0.25">
      <c r="A14">
        <v>13</v>
      </c>
      <c r="C14" s="2">
        <v>1423.0769230769199</v>
      </c>
      <c r="D14" s="2">
        <v>470.22332506203401</v>
      </c>
      <c r="E14" s="2">
        <f t="shared" si="0"/>
        <v>0</v>
      </c>
      <c r="F14" s="2">
        <v>611.66253101736902</v>
      </c>
      <c r="G14" s="2">
        <v>1274.19354838709</v>
      </c>
      <c r="H14" s="2">
        <f t="shared" si="1"/>
        <v>1</v>
      </c>
      <c r="I14" s="2">
        <v>529.77667493796503</v>
      </c>
      <c r="K14" s="2"/>
    </row>
    <row r="15" spans="1:13" x14ac:dyDescent="0.25">
      <c r="A15">
        <v>14</v>
      </c>
      <c r="D15" s="2">
        <v>648.88337468982604</v>
      </c>
      <c r="E15" s="2">
        <f t="shared" si="0"/>
        <v>1</v>
      </c>
      <c r="F15" s="2">
        <v>559.55334987593005</v>
      </c>
      <c r="G15" s="4">
        <v>574.44168734491302</v>
      </c>
      <c r="H15" s="2">
        <f t="shared" si="1"/>
        <v>0</v>
      </c>
      <c r="I15" s="2">
        <v>529.77667493796503</v>
      </c>
      <c r="K15" s="2"/>
    </row>
    <row r="16" spans="1:13" x14ac:dyDescent="0.25">
      <c r="A16">
        <v>15</v>
      </c>
      <c r="D16" s="2">
        <v>559.55334987593005</v>
      </c>
      <c r="E16" s="2">
        <f t="shared" si="0"/>
        <v>0</v>
      </c>
      <c r="F16" s="2">
        <v>455.33498759305201</v>
      </c>
      <c r="G16" s="2">
        <v>834.98759305210899</v>
      </c>
      <c r="H16" s="2">
        <f t="shared" si="1"/>
        <v>1</v>
      </c>
      <c r="I16" s="2">
        <v>500</v>
      </c>
      <c r="K16" s="2"/>
    </row>
    <row r="17" spans="1:11" x14ac:dyDescent="0.25">
      <c r="A17">
        <v>16</v>
      </c>
      <c r="D17" s="2">
        <v>470.22332506203401</v>
      </c>
      <c r="E17" s="2">
        <f t="shared" si="0"/>
        <v>0</v>
      </c>
      <c r="F17" s="2">
        <v>589.33002481389497</v>
      </c>
      <c r="G17" s="2">
        <v>2450.37220843672</v>
      </c>
      <c r="H17" s="2">
        <f t="shared" si="1"/>
        <v>1</v>
      </c>
      <c r="I17" s="2">
        <v>559.55334987593005</v>
      </c>
      <c r="K17" s="2"/>
    </row>
    <row r="18" spans="1:11" x14ac:dyDescent="0.25">
      <c r="A18">
        <v>17</v>
      </c>
      <c r="D18" s="2">
        <v>440.44665012406898</v>
      </c>
      <c r="E18" s="2">
        <f t="shared" si="0"/>
        <v>0</v>
      </c>
      <c r="G18" s="4">
        <v>440.44665012406898</v>
      </c>
      <c r="H18" s="2">
        <f t="shared" si="1"/>
        <v>0</v>
      </c>
      <c r="I18" s="2">
        <v>470.22332506203401</v>
      </c>
      <c r="K18" s="2"/>
    </row>
    <row r="19" spans="1:11" x14ac:dyDescent="0.25">
      <c r="A19">
        <v>18</v>
      </c>
      <c r="D19" s="2">
        <v>477.667493796526</v>
      </c>
      <c r="E19" s="2">
        <f t="shared" si="0"/>
        <v>0</v>
      </c>
      <c r="G19" s="4">
        <v>477.667493796526</v>
      </c>
      <c r="H19" s="2">
        <f t="shared" si="1"/>
        <v>0</v>
      </c>
      <c r="I19" s="2">
        <v>470.22332506203401</v>
      </c>
      <c r="K19" s="2"/>
    </row>
    <row r="20" spans="1:11" x14ac:dyDescent="0.25">
      <c r="A20">
        <v>19</v>
      </c>
      <c r="D20" s="2">
        <v>693.54838709677404</v>
      </c>
      <c r="E20" s="2">
        <f t="shared" si="0"/>
        <v>1</v>
      </c>
      <c r="F20" s="2">
        <v>500</v>
      </c>
      <c r="G20" s="2">
        <v>604.21836228287805</v>
      </c>
      <c r="H20" s="2">
        <f t="shared" si="1"/>
        <v>0</v>
      </c>
      <c r="I20" s="2">
        <v>537.220843672456</v>
      </c>
      <c r="K20" s="2"/>
    </row>
    <row r="21" spans="1:11" x14ac:dyDescent="0.25">
      <c r="A21">
        <v>20</v>
      </c>
      <c r="C21" s="2">
        <v>611.66253101736902</v>
      </c>
      <c r="D21" s="2">
        <v>678.66004962779095</v>
      </c>
      <c r="E21" s="2">
        <f t="shared" si="0"/>
        <v>1</v>
      </c>
      <c r="F21" s="2">
        <v>566.99751861042103</v>
      </c>
      <c r="G21" s="2">
        <v>678.66004962779095</v>
      </c>
      <c r="H21" s="2">
        <f t="shared" si="1"/>
        <v>1</v>
      </c>
      <c r="I21" s="2">
        <v>514.88833746898194</v>
      </c>
      <c r="K21" s="2"/>
    </row>
    <row r="22" spans="1:11" x14ac:dyDescent="0.25">
      <c r="A22">
        <v>21</v>
      </c>
      <c r="C22" s="2">
        <v>1333.7468982630201</v>
      </c>
      <c r="D22" s="2">
        <v>3693.5483870967701</v>
      </c>
      <c r="E22" s="2">
        <f t="shared" si="0"/>
        <v>1</v>
      </c>
      <c r="F22" s="2">
        <v>604.21836228287805</v>
      </c>
      <c r="G22" s="2">
        <v>968.98263027295195</v>
      </c>
      <c r="H22" s="2">
        <f t="shared" si="1"/>
        <v>1</v>
      </c>
      <c r="I22" s="2">
        <v>604.21836228287805</v>
      </c>
      <c r="K22" s="2"/>
    </row>
    <row r="23" spans="1:11" x14ac:dyDescent="0.25">
      <c r="C23" s="2"/>
      <c r="D23" s="2"/>
      <c r="E23" s="2">
        <f>SUM(E2:E22)</f>
        <v>11</v>
      </c>
      <c r="F23" s="2"/>
      <c r="G23" s="2"/>
      <c r="H23" s="2">
        <f>SUM(H2:H22)</f>
        <v>11</v>
      </c>
      <c r="I23" s="2"/>
      <c r="K23" s="2"/>
    </row>
    <row r="24" spans="1:11" x14ac:dyDescent="0.25">
      <c r="C24" t="s">
        <v>26</v>
      </c>
      <c r="D24">
        <f>_xlfn.STDEV.S(D2:D22)</f>
        <v>685.74204245483918</v>
      </c>
      <c r="F24" t="s">
        <v>26</v>
      </c>
      <c r="G24">
        <f>_xlfn.STDEV.S(G2:G22)</f>
        <v>560.39620675449612</v>
      </c>
      <c r="I24">
        <f>_xlfn.STDEV.S(I2:I22)</f>
        <v>56.331213075397272</v>
      </c>
    </row>
    <row r="25" spans="1:11" x14ac:dyDescent="0.25">
      <c r="C25" t="s">
        <v>27</v>
      </c>
      <c r="D25">
        <f>AVERAGE(D2:D22)</f>
        <v>766.92662176533088</v>
      </c>
      <c r="F25" t="s">
        <v>27</v>
      </c>
      <c r="G25">
        <f>AVERAGE(G2:G22)</f>
        <v>861.21942573555361</v>
      </c>
      <c r="H25" t="s">
        <v>26</v>
      </c>
      <c r="I25">
        <f>AVERAGE(I2:I22)</f>
        <v>508.86210563629868</v>
      </c>
    </row>
    <row r="26" spans="1:11" x14ac:dyDescent="0.25">
      <c r="C26" t="s">
        <v>28</v>
      </c>
      <c r="D26">
        <f>D25+2*D24</f>
        <v>2138.4107066750094</v>
      </c>
      <c r="F26" t="s">
        <v>28</v>
      </c>
      <c r="G26">
        <f>G25+2*G24</f>
        <v>1982.0118392445459</v>
      </c>
      <c r="H26" t="s">
        <v>28</v>
      </c>
      <c r="I26">
        <f>I25+2*I24</f>
        <v>621.52453178709322</v>
      </c>
      <c r="J26">
        <f>621/20</f>
        <v>31.05</v>
      </c>
    </row>
    <row r="27" spans="1:11" x14ac:dyDescent="0.25">
      <c r="C27" t="s">
        <v>29</v>
      </c>
      <c r="D27">
        <f>D25+3*D24</f>
        <v>2824.1527491298484</v>
      </c>
      <c r="F27" t="s">
        <v>29</v>
      </c>
      <c r="G27">
        <f>G25+3*G24</f>
        <v>2542.4080459990419</v>
      </c>
      <c r="H27" t="s">
        <v>29</v>
      </c>
      <c r="I27">
        <f>I25+3*I24</f>
        <v>677.8557448624905</v>
      </c>
      <c r="J27">
        <f>41*20</f>
        <v>820</v>
      </c>
    </row>
    <row r="29" spans="1:11" x14ac:dyDescent="0.25">
      <c r="D29">
        <f>2138.4/20</f>
        <v>106.92</v>
      </c>
      <c r="G29">
        <f>1982/20</f>
        <v>99.1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447dd6a-a4a1-440b-a6a3-9124ef1ee017}" enabled="1" method="Privileged" siteId="{7a18110d-ef9b-4274-acef-e62ab0fe28e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plainis</vt:lpstr>
      <vt:lpstr>kaiming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Timothy E (USA)</dc:creator>
  <cp:lastModifiedBy>Wang, Timothy E (USA)</cp:lastModifiedBy>
  <dcterms:created xsi:type="dcterms:W3CDTF">2025-07-08T19:14:32Z</dcterms:created>
  <dcterms:modified xsi:type="dcterms:W3CDTF">2025-07-15T13:53:15Z</dcterms:modified>
</cp:coreProperties>
</file>